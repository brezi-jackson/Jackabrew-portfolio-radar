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销推算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9"/>
    </font>
    <font>
      <name val="微软雅黑"/>
      <sz val="9"/>
    </font>
    <font>
      <name val="微软雅黑"/>
      <color rgb="001E3A5F"/>
      <sz val="8"/>
    </font>
    <font>
      <name val="微软雅黑"/>
      <b val="1"/>
      <color rgb="00333333"/>
      <sz val="8"/>
    </font>
    <font>
      <name val="微软雅黑"/>
      <b val="1"/>
      <color rgb="00FFFFFF"/>
      <sz val="9"/>
    </font>
    <font>
      <name val="微软雅黑"/>
      <b val="1"/>
      <color rgb="00BF360C"/>
      <sz val="9"/>
    </font>
    <font>
      <name val="微软雅黑"/>
      <color rgb="00666666"/>
      <sz val="8"/>
    </font>
    <font>
      <name val="微软雅黑"/>
      <b val="1"/>
      <color rgb="00FFFFFF"/>
      <sz val="10"/>
    </font>
    <font>
      <name val="微软雅黑"/>
      <b val="1"/>
      <color rgb="007B1FA2"/>
      <sz val="10"/>
    </font>
    <font>
      <name val="微软雅黑"/>
      <b val="1"/>
      <color rgb="001E3A5F"/>
      <sz val="8"/>
    </font>
    <font>
      <name val="微软雅黑"/>
      <color rgb="00555555"/>
      <sz val="8"/>
    </font>
    <font>
      <name val="微软雅黑"/>
      <b val="1"/>
      <color rgb="00BF360C"/>
      <sz val="8"/>
    </font>
  </fonts>
  <fills count="2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E8F0FD"/>
      </patternFill>
    </fill>
    <fill>
      <patternFill patternType="solid">
        <fgColor rgb="00F0F0F0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FE0CC"/>
      </patternFill>
    </fill>
    <fill>
      <patternFill patternType="solid">
        <fgColor rgb="002C5F8A"/>
      </patternFill>
    </fill>
    <fill>
      <patternFill patternType="solid">
        <fgColor rgb="00EBF5EB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A5D6A7"/>
      </patternFill>
    </fill>
    <fill>
      <patternFill patternType="solid">
        <fgColor rgb="00FFD54F"/>
      </patternFill>
    </fill>
    <fill>
      <patternFill patternType="solid">
        <fgColor rgb="00EF9A9A"/>
      </patternFill>
    </fill>
    <fill>
      <patternFill patternType="solid">
        <fgColor rgb="00F3E5F5"/>
      </patternFill>
    </fill>
    <fill>
      <patternFill patternType="solid">
        <fgColor rgb="00F5F8FD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medium">
        <color rgb="00AB47BC"/>
      </left>
      <right style="medium">
        <color rgb="00AB47BC"/>
      </right>
      <top style="medium">
        <color rgb="00AB47BC"/>
      </top>
      <bottom style="medium">
        <color rgb="00AB47B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3" fontId="3" fillId="12" borderId="1" applyAlignment="1" pivotButton="0" quotePrefix="0" xfId="0">
      <alignment horizontal="center" vertical="center" wrapText="1"/>
    </xf>
    <xf numFmtId="3" fontId="2" fillId="12" borderId="1" applyAlignment="1" pivotButton="0" quotePrefix="0" xfId="0">
      <alignment horizontal="center" vertical="center" wrapText="1"/>
    </xf>
    <xf numFmtId="3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3" fontId="3" fillId="13" borderId="1" applyAlignment="1" pivotButton="0" quotePrefix="0" xfId="0">
      <alignment horizontal="center" vertical="center" wrapText="1"/>
    </xf>
    <xf numFmtId="3" fontId="2" fillId="13" borderId="1" applyAlignment="1" pivotButton="0" quotePrefix="0" xfId="0">
      <alignment horizontal="center" vertical="center" wrapText="1"/>
    </xf>
    <xf numFmtId="3" fontId="7" fillId="14" borderId="1" applyAlignment="1" pivotButton="0" quotePrefix="0" xfId="0">
      <alignment horizontal="center" vertical="center" wrapText="1"/>
    </xf>
    <xf numFmtId="3" fontId="3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3" fontId="2" fillId="1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3" fontId="3" fillId="9" borderId="1" applyAlignment="1" pivotButton="0" quotePrefix="0" xfId="0">
      <alignment horizontal="center" vertical="center" wrapText="1"/>
    </xf>
    <xf numFmtId="3" fontId="2" fillId="9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3" fontId="2" fillId="17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3" fontId="9" fillId="2" borderId="2" applyAlignment="1" pivotButton="0" quotePrefix="0" xfId="0">
      <alignment horizontal="center" vertical="center" wrapText="1"/>
    </xf>
    <xf numFmtId="0" fontId="10" fillId="18" borderId="3" applyAlignment="1" pivotButton="0" quotePrefix="0" xfId="0">
      <alignment horizontal="left" vertical="center" wrapText="1"/>
    </xf>
    <xf numFmtId="0" fontId="11" fillId="19" borderId="4" applyAlignment="1" pivotButton="0" quotePrefix="0" xfId="0">
      <alignment horizontal="left" vertical="center" wrapText="1"/>
    </xf>
    <xf numFmtId="0" fontId="12" fillId="19" borderId="4" applyAlignment="1" pivotButton="0" quotePrefix="0" xfId="0">
      <alignment horizontal="left" vertical="center" wrapText="1"/>
    </xf>
    <xf numFmtId="0" fontId="13" fillId="19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0" customWidth="1" min="9" max="9"/>
    <col width="14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1" customWidth="1" min="17" max="17"/>
    <col width="9" customWidth="1" min="18" max="18"/>
    <col width="9" customWidth="1" min="19" max="19"/>
    <col width="20" customWidth="1" min="20" max="20"/>
  </cols>
  <sheetData>
    <row r="1" ht="36" customHeight="1">
      <c r="A1" s="1" t="inlineStr">
        <is>
          <t>HS-1025  产销推算主表  V5.0（2026 Q2–Q4）  ★ 建议月产能：≥ 6,000台  |  备料2月+生产1月=共3月前置期  |  安全库存300台  |  颜色比：黑70%/银30%</t>
        </is>
      </c>
    </row>
    <row r="2" ht="6" customHeight="1"/>
    <row r="3" ht="20" customHeight="1">
      <c r="A3" s="2" t="inlineStr">
        <is>
          <t>备料周期</t>
        </is>
      </c>
      <c r="B3" s="3" t="n">
        <v>2</v>
      </c>
      <c r="C3" s="4" t="inlineStr">
        <is>
          <t>月</t>
        </is>
      </c>
      <c r="D3" s="2" t="inlineStr">
        <is>
          <t>生产周期</t>
        </is>
      </c>
      <c r="E3" s="3" t="n">
        <v>1</v>
      </c>
      <c r="F3" s="4" t="inlineStr">
        <is>
          <t>月</t>
        </is>
      </c>
      <c r="G3" s="2" t="inlineStr">
        <is>
          <t>合计前置期</t>
        </is>
      </c>
      <c r="H3" s="3" t="n">
        <v>3</v>
      </c>
      <c r="I3" s="4" t="inlineStr">
        <is>
          <t>月</t>
        </is>
      </c>
    </row>
    <row r="4" ht="20" customHeight="1">
      <c r="A4" s="2" t="inlineStr">
        <is>
          <t>安全库存</t>
        </is>
      </c>
      <c r="B4" s="3" t="n">
        <v>300</v>
      </c>
      <c r="C4" s="4" t="inlineStr">
        <is>
          <t>台</t>
        </is>
      </c>
      <c r="D4" s="2" t="inlineStr">
        <is>
          <t>当前总库存</t>
        </is>
      </c>
      <c r="E4" s="3" t="n">
        <v>1993</v>
      </c>
      <c r="F4" s="4" t="inlineStr">
        <is>
          <t>台</t>
        </is>
      </c>
      <c r="G4" s="2" t="inlineStr">
        <is>
          <t>当前黑色</t>
        </is>
      </c>
      <c r="H4" s="3" t="n">
        <v>989</v>
      </c>
      <c r="I4" s="4" t="inlineStr">
        <is>
          <t>台</t>
        </is>
      </c>
      <c r="J4" s="2" t="inlineStr">
        <is>
          <t>当前银色</t>
        </is>
      </c>
      <c r="K4" s="3" t="n">
        <v>1004</v>
      </c>
      <c r="L4" s="4" t="inlineStr">
        <is>
          <t>台</t>
        </is>
      </c>
    </row>
    <row r="5" ht="20" customHeight="1">
      <c r="A5" s="2" t="inlineStr">
        <is>
          <t>在产①国规</t>
        </is>
      </c>
      <c r="B5" s="3" t="n">
        <v>900</v>
      </c>
      <c r="C5" s="4" t="inlineStr">
        <is>
          <t>台→5月入库</t>
        </is>
      </c>
      <c r="D5" s="2" t="inlineStr">
        <is>
          <t>在产②美规</t>
        </is>
      </c>
      <c r="E5" s="3" t="n">
        <v>1100</v>
      </c>
      <c r="F5" s="4" t="inlineStr">
        <is>
          <t>台→6月入库</t>
        </is>
      </c>
      <c r="G5" s="2" t="inlineStr">
        <is>
          <t>颜色比例</t>
        </is>
      </c>
      <c r="H5" s="4" t="inlineStr">
        <is>
          <t>黑70%/银30%</t>
        </is>
      </c>
    </row>
    <row r="6" ht="18" customHeight="1">
      <c r="A6" s="5" t="inlineStr">
        <is>
          <t>📐 核心公式：  期末 = 期初 + 已知入库 + 计划到货 − 月需求  |  计划到货 = MAX(0, 月需求合计 + 300 − 期初库存合计 − 已知入库合计)  ← 精确补到安全库存，零缺口，不多排</t>
        </is>
      </c>
    </row>
    <row r="7" ht="5" customHeight="1"/>
    <row r="8" ht="20" customHeight="1">
      <c r="A8" s="6" t="inlineStr">
        <is>
          <t>基本信息</t>
        </is>
      </c>
      <c r="C8" s="6" t="inlineStr"/>
      <c r="D8" s="7" t="inlineStr">
        <is>
          <t>月预测需求（台）</t>
        </is>
      </c>
      <c r="G8" s="8" t="inlineStr">
        <is>
          <t>已知在产入库</t>
        </is>
      </c>
      <c r="K8" s="9" t="inlineStr">
        <is>
          <t>库存推演（台）</t>
        </is>
      </c>
      <c r="N8" s="10" t="inlineStr">
        <is>
          <t>期末库存（台）</t>
        </is>
      </c>
      <c r="Q8" s="11" t="inlineStr">
        <is>
          <t>★ 计划到货（排产建议）</t>
        </is>
      </c>
    </row>
    <row r="9" ht="30" customHeight="1">
      <c r="A9" s="12" t="inlineStr">
        <is>
          <t>季度</t>
        </is>
      </c>
      <c r="B9" s="12" t="inlineStr">
        <is>
          <t>月份</t>
        </is>
      </c>
      <c r="C9" s="12" t="inlineStr">
        <is>
          <t>关键节点</t>
        </is>
      </c>
      <c r="D9" s="12" t="inlineStr">
        <is>
          <t>需求
黑</t>
        </is>
      </c>
      <c r="E9" s="12" t="inlineStr">
        <is>
          <t>需求
银</t>
        </is>
      </c>
      <c r="F9" s="12" t="inlineStr">
        <is>
          <t>需求
合计</t>
        </is>
      </c>
      <c r="G9" s="12" t="inlineStr">
        <is>
          <t>已知入库
黑</t>
        </is>
      </c>
      <c r="H9" s="12" t="inlineStr">
        <is>
          <t>已知入库
银</t>
        </is>
      </c>
      <c r="I9" s="12" t="inlineStr">
        <is>
          <t>已知入库
合计</t>
        </is>
      </c>
      <c r="J9" s="12" t="inlineStr">
        <is>
          <t>入库备注</t>
        </is>
      </c>
      <c r="K9" s="12" t="inlineStr">
        <is>
          <t>期初
黑</t>
        </is>
      </c>
      <c r="L9" s="12" t="inlineStr">
        <is>
          <t>期初
银</t>
        </is>
      </c>
      <c r="M9" s="12" t="inlineStr">
        <is>
          <t>期初
合计</t>
        </is>
      </c>
      <c r="N9" s="12" t="inlineStr">
        <is>
          <t>期末
黑</t>
        </is>
      </c>
      <c r="O9" s="12" t="inlineStr">
        <is>
          <t>期末
银</t>
        </is>
      </c>
      <c r="P9" s="12" t="inlineStr">
        <is>
          <t>期末
合计</t>
        </is>
      </c>
      <c r="Q9" s="12" t="inlineStr">
        <is>
          <t>计划到货
合计</t>
        </is>
      </c>
      <c r="R9" s="12" t="inlineStr">
        <is>
          <t>计划到货
黑</t>
        </is>
      </c>
      <c r="S9" s="12" t="inlineStr">
        <is>
          <t>计划到货
银</t>
        </is>
      </c>
      <c r="T9" s="12" t="inlineStr">
        <is>
          <t>最晚下单时间</t>
        </is>
      </c>
    </row>
    <row r="10" ht="22" customHeight="1">
      <c r="A10" s="13" t="inlineStr">
        <is>
          <t>Q2</t>
        </is>
      </c>
      <c r="B10" s="14" t="inlineStr">
        <is>
          <t>4月</t>
        </is>
      </c>
      <c r="C10" s="15" t="inlineStr">
        <is>
          <t>—</t>
        </is>
      </c>
      <c r="D10" s="16" t="n">
        <v>140</v>
      </c>
      <c r="E10" s="16" t="n">
        <v>60</v>
      </c>
      <c r="F10" s="16">
        <f>D10+E10</f>
        <v/>
      </c>
      <c r="G10" s="14" t="inlineStr">
        <is>
          <t>—</t>
        </is>
      </c>
      <c r="H10" s="14" t="inlineStr">
        <is>
          <t>—</t>
        </is>
      </c>
      <c r="I10" s="16" t="n">
        <v>0</v>
      </c>
      <c r="J10" s="15" t="inlineStr">
        <is>
          <t>—</t>
        </is>
      </c>
      <c r="K10" s="17" t="n">
        <v>989</v>
      </c>
      <c r="L10" s="17" t="n">
        <v>1004</v>
      </c>
      <c r="M10" s="17">
        <f>K10+L10</f>
        <v/>
      </c>
      <c r="N10" s="16">
        <f>K10+R10-D10</f>
        <v/>
      </c>
      <c r="O10" s="16">
        <f>L10+S10-E10</f>
        <v/>
      </c>
      <c r="P10" s="17">
        <f>N10+O10</f>
        <v/>
      </c>
      <c r="Q10" s="18">
        <f>MAX(0,F10+300-M10-I10)</f>
        <v/>
      </c>
      <c r="R10" s="16">
        <f>ROUND(Q10*0.7,0)</f>
        <v/>
      </c>
      <c r="S10" s="16">
        <f>Q10-R10</f>
        <v/>
      </c>
      <c r="T10" s="19" t="inlineStr">
        <is>
          <t>最晚 1月 下料单（备料2月+生产1月=3月前置）</t>
        </is>
      </c>
    </row>
    <row r="11" ht="22" customHeight="1">
      <c r="A11" s="13" t="inlineStr">
        <is>
          <t>Q2</t>
        </is>
      </c>
      <c r="B11" s="14" t="inlineStr">
        <is>
          <t>5月</t>
        </is>
      </c>
      <c r="C11" s="15" t="inlineStr">
        <is>
          <t>—</t>
        </is>
      </c>
      <c r="D11" s="16" t="n">
        <v>182</v>
      </c>
      <c r="E11" s="16" t="n">
        <v>78</v>
      </c>
      <c r="F11" s="16">
        <f>D11+E11</f>
        <v/>
      </c>
      <c r="G11" s="16" t="n">
        <v>600</v>
      </c>
      <c r="H11" s="16" t="n">
        <v>300</v>
      </c>
      <c r="I11" s="16" t="n">
        <v>900</v>
      </c>
      <c r="J11" s="15" t="inlineStr">
        <is>
          <t>在产-国规</t>
        </is>
      </c>
      <c r="K11" s="17">
        <f>N10</f>
        <v/>
      </c>
      <c r="L11" s="17">
        <f>O10</f>
        <v/>
      </c>
      <c r="M11" s="17">
        <f>K11+L11</f>
        <v/>
      </c>
      <c r="N11" s="16">
        <f>K11+G11+R11-D11</f>
        <v/>
      </c>
      <c r="O11" s="16">
        <f>L11+H11+S11-E11</f>
        <v/>
      </c>
      <c r="P11" s="17">
        <f>N11+O11</f>
        <v/>
      </c>
      <c r="Q11" s="18">
        <f>MAX(0,F11+300-M11-I11)</f>
        <v/>
      </c>
      <c r="R11" s="16">
        <f>ROUND(Q11*0.7,0)</f>
        <v/>
      </c>
      <c r="S11" s="16">
        <f>Q11-R11</f>
        <v/>
      </c>
      <c r="T11" s="19" t="inlineStr">
        <is>
          <t>最晚 2月 下料单（备料2月+生产1月=3月前置）</t>
        </is>
      </c>
    </row>
    <row r="12" ht="22" customHeight="1">
      <c r="A12" s="13" t="inlineStr">
        <is>
          <t>Q2</t>
        </is>
      </c>
      <c r="B12" s="14" t="inlineStr">
        <is>
          <t>6月</t>
        </is>
      </c>
      <c r="C12" s="15" t="inlineStr">
        <is>
          <t>618 / Prime Day（6月中）</t>
        </is>
      </c>
      <c r="D12" s="16" t="n">
        <v>675.5</v>
      </c>
      <c r="E12" s="16" t="n">
        <v>309.5</v>
      </c>
      <c r="F12" s="16">
        <f>D12+E12</f>
        <v/>
      </c>
      <c r="G12" s="16" t="n">
        <v>800</v>
      </c>
      <c r="H12" s="16" t="n">
        <v>300</v>
      </c>
      <c r="I12" s="16" t="n">
        <v>1100</v>
      </c>
      <c r="J12" s="15" t="inlineStr">
        <is>
          <t>在产-美规</t>
        </is>
      </c>
      <c r="K12" s="17">
        <f>N11</f>
        <v/>
      </c>
      <c r="L12" s="17">
        <f>O11</f>
        <v/>
      </c>
      <c r="M12" s="17">
        <f>K12+L12</f>
        <v/>
      </c>
      <c r="N12" s="16">
        <f>K12+G12+R12-D12</f>
        <v/>
      </c>
      <c r="O12" s="16">
        <f>L12+H12+S12-E12</f>
        <v/>
      </c>
      <c r="P12" s="17">
        <f>N12+O12</f>
        <v/>
      </c>
      <c r="Q12" s="18">
        <f>MAX(0,F12+300-M12-I12)</f>
        <v/>
      </c>
      <c r="R12" s="16">
        <f>ROUND(Q12*0.7,0)</f>
        <v/>
      </c>
      <c r="S12" s="16">
        <f>Q12-R12</f>
        <v/>
      </c>
      <c r="T12" s="19" t="inlineStr">
        <is>
          <t>最晚 3月 下料单（备料2月+生产1月=3月前置）</t>
        </is>
      </c>
    </row>
    <row r="13" ht="20" customHeight="1">
      <c r="A13" s="20" t="inlineStr">
        <is>
          <t>Q2 小计</t>
        </is>
      </c>
      <c r="C13" s="20" t="n"/>
      <c r="D13" s="21">
        <f>SUM(D10,D11,D12)</f>
        <v/>
      </c>
      <c r="E13" s="21">
        <f>SUM(E10,E11,E12)</f>
        <v/>
      </c>
      <c r="F13" s="21">
        <f>SUM(F10,F11,F12)</f>
        <v/>
      </c>
      <c r="G13" s="21">
        <f>SUM(G10,G11,G12)</f>
        <v/>
      </c>
      <c r="H13" s="21">
        <f>SUM(H10,H11,H12)</f>
        <v/>
      </c>
      <c r="I13" s="21">
        <f>SUM(I10,I11,I12)</f>
        <v/>
      </c>
      <c r="J13" s="20" t="n"/>
      <c r="K13" s="21">
        <f>K10</f>
        <v/>
      </c>
      <c r="L13" s="21">
        <f>L10</f>
        <v/>
      </c>
      <c r="M13" s="21">
        <f>M10</f>
        <v/>
      </c>
      <c r="N13" s="21">
        <f>N12</f>
        <v/>
      </c>
      <c r="O13" s="21">
        <f>O12</f>
        <v/>
      </c>
      <c r="P13" s="21">
        <f>P12</f>
        <v/>
      </c>
      <c r="Q13" s="21">
        <f>SUM(Q10,Q11,Q12)</f>
        <v/>
      </c>
      <c r="R13" s="21">
        <f>SUM(R10,R11,R12)</f>
        <v/>
      </c>
      <c r="S13" s="21">
        <f>SUM(S10,S11,S12)</f>
        <v/>
      </c>
      <c r="T13" s="20" t="n"/>
    </row>
    <row r="14" ht="6" customHeight="1"/>
    <row r="15" ht="22" customHeight="1">
      <c r="A15" s="22" t="inlineStr">
        <is>
          <t>Q3</t>
        </is>
      </c>
      <c r="B15" s="23" t="inlineStr">
        <is>
          <t>7月</t>
        </is>
      </c>
      <c r="C15" s="24" t="inlineStr">
        <is>
          <t>澳洲 EOFY 年中</t>
        </is>
      </c>
      <c r="D15" s="25" t="n">
        <v>1113</v>
      </c>
      <c r="E15" s="25" t="n">
        <v>477</v>
      </c>
      <c r="F15" s="25">
        <f>D15+E15</f>
        <v/>
      </c>
      <c r="G15" s="23" t="inlineStr">
        <is>
          <t>—</t>
        </is>
      </c>
      <c r="H15" s="23" t="inlineStr">
        <is>
          <t>—</t>
        </is>
      </c>
      <c r="I15" s="25" t="n">
        <v>0</v>
      </c>
      <c r="J15" s="24" t="inlineStr">
        <is>
          <t>—</t>
        </is>
      </c>
      <c r="K15" s="26">
        <f>N12</f>
        <v/>
      </c>
      <c r="L15" s="26">
        <f>O12</f>
        <v/>
      </c>
      <c r="M15" s="26">
        <f>K15+L15</f>
        <v/>
      </c>
      <c r="N15" s="25">
        <f>K15+R15-D15</f>
        <v/>
      </c>
      <c r="O15" s="25">
        <f>L15+S15-E15</f>
        <v/>
      </c>
      <c r="P15" s="26">
        <f>N15+O15</f>
        <v/>
      </c>
      <c r="Q15" s="27">
        <f>MAX(0,F15+300-M15-I15)</f>
        <v/>
      </c>
      <c r="R15" s="28">
        <f>ROUND(Q15*0.7,0)</f>
        <v/>
      </c>
      <c r="S15" s="28">
        <f>Q15-R15</f>
        <v/>
      </c>
      <c r="T15" s="29" t="inlineStr">
        <is>
          <t>最晚 4月 下料单（备料2月+生产1月=3月前置）</t>
        </is>
      </c>
    </row>
    <row r="16" ht="22" customHeight="1">
      <c r="A16" s="22" t="inlineStr">
        <is>
          <t>Q3</t>
        </is>
      </c>
      <c r="B16" s="23" t="inlineStr">
        <is>
          <t>8月</t>
        </is>
      </c>
      <c r="C16" s="24" t="inlineStr">
        <is>
          <t>Back to School 季</t>
        </is>
      </c>
      <c r="D16" s="25" t="n">
        <v>1638</v>
      </c>
      <c r="E16" s="25" t="n">
        <v>702</v>
      </c>
      <c r="F16" s="25">
        <f>D16+E16</f>
        <v/>
      </c>
      <c r="G16" s="23" t="inlineStr">
        <is>
          <t>—</t>
        </is>
      </c>
      <c r="H16" s="23" t="inlineStr">
        <is>
          <t>—</t>
        </is>
      </c>
      <c r="I16" s="25" t="n">
        <v>0</v>
      </c>
      <c r="J16" s="24" t="inlineStr">
        <is>
          <t>—</t>
        </is>
      </c>
      <c r="K16" s="26">
        <f>N15</f>
        <v/>
      </c>
      <c r="L16" s="26">
        <f>O15</f>
        <v/>
      </c>
      <c r="M16" s="26">
        <f>K16+L16</f>
        <v/>
      </c>
      <c r="N16" s="25">
        <f>K16+R16-D16</f>
        <v/>
      </c>
      <c r="O16" s="25">
        <f>L16+S16-E16</f>
        <v/>
      </c>
      <c r="P16" s="26">
        <f>N16+O16</f>
        <v/>
      </c>
      <c r="Q16" s="27">
        <f>MAX(0,F16+300-M16-I16)</f>
        <v/>
      </c>
      <c r="R16" s="28">
        <f>ROUND(Q16*0.7,0)</f>
        <v/>
      </c>
      <c r="S16" s="28">
        <f>Q16-R16</f>
        <v/>
      </c>
      <c r="T16" s="29" t="inlineStr">
        <is>
          <t>最晚 5月 下料单（备料2月+生产1月=3月前置）</t>
        </is>
      </c>
    </row>
    <row r="17" ht="22" customHeight="1">
      <c r="A17" s="22" t="inlineStr">
        <is>
          <t>Q3</t>
        </is>
      </c>
      <c r="B17" s="23" t="inlineStr">
        <is>
          <t>9月</t>
        </is>
      </c>
      <c r="C17" s="24" t="inlineStr">
        <is>
          <t>Labor Day / 双11预热</t>
        </is>
      </c>
      <c r="D17" s="25" t="n">
        <v>1918</v>
      </c>
      <c r="E17" s="25" t="n">
        <v>822</v>
      </c>
      <c r="F17" s="25">
        <f>D17+E17</f>
        <v/>
      </c>
      <c r="G17" s="23" t="inlineStr">
        <is>
          <t>—</t>
        </is>
      </c>
      <c r="H17" s="23" t="inlineStr">
        <is>
          <t>—</t>
        </is>
      </c>
      <c r="I17" s="25" t="n">
        <v>0</v>
      </c>
      <c r="J17" s="24" t="inlineStr">
        <is>
          <t>—</t>
        </is>
      </c>
      <c r="K17" s="26">
        <f>N16</f>
        <v/>
      </c>
      <c r="L17" s="26">
        <f>O16</f>
        <v/>
      </c>
      <c r="M17" s="26">
        <f>K17+L17</f>
        <v/>
      </c>
      <c r="N17" s="25">
        <f>K17+R17-D17</f>
        <v/>
      </c>
      <c r="O17" s="25">
        <f>L17+S17-E17</f>
        <v/>
      </c>
      <c r="P17" s="26">
        <f>N17+O17</f>
        <v/>
      </c>
      <c r="Q17" s="27">
        <f>MAX(0,F17+300-M17-I17)</f>
        <v/>
      </c>
      <c r="R17" s="28">
        <f>ROUND(Q17*0.7,0)</f>
        <v/>
      </c>
      <c r="S17" s="28">
        <f>Q17-R17</f>
        <v/>
      </c>
      <c r="T17" s="29" t="inlineStr">
        <is>
          <t>最晚 6月 下料单（备料2月+生产1月=3月前置）</t>
        </is>
      </c>
    </row>
    <row r="18" ht="20" customHeight="1">
      <c r="A18" s="30" t="inlineStr">
        <is>
          <t>Q3 小计</t>
        </is>
      </c>
      <c r="C18" s="30" t="n"/>
      <c r="D18" s="31">
        <f>SUM(D15,D16,D17)</f>
        <v/>
      </c>
      <c r="E18" s="31">
        <f>SUM(E15,E16,E17)</f>
        <v/>
      </c>
      <c r="F18" s="31">
        <f>SUM(F15,F16,F17)</f>
        <v/>
      </c>
      <c r="G18" s="31">
        <f>SUM(G15,G16,G17)</f>
        <v/>
      </c>
      <c r="H18" s="31">
        <f>SUM(H15,H16,H17)</f>
        <v/>
      </c>
      <c r="I18" s="31">
        <f>SUM(I15,I16,I17)</f>
        <v/>
      </c>
      <c r="J18" s="30" t="n"/>
      <c r="K18" s="31">
        <f>K15</f>
        <v/>
      </c>
      <c r="L18" s="31">
        <f>L15</f>
        <v/>
      </c>
      <c r="M18" s="31">
        <f>M15</f>
        <v/>
      </c>
      <c r="N18" s="31">
        <f>N17</f>
        <v/>
      </c>
      <c r="O18" s="31">
        <f>O17</f>
        <v/>
      </c>
      <c r="P18" s="31">
        <f>P17</f>
        <v/>
      </c>
      <c r="Q18" s="31">
        <f>SUM(Q15,Q16,Q17)</f>
        <v/>
      </c>
      <c r="R18" s="31">
        <f>SUM(R15,R16,R17)</f>
        <v/>
      </c>
      <c r="S18" s="31">
        <f>SUM(S15,S16,S17)</f>
        <v/>
      </c>
      <c r="T18" s="30" t="n"/>
    </row>
    <row r="19" ht="6" customHeight="1"/>
    <row r="20" ht="22" customHeight="1">
      <c r="A20" s="32" t="inlineStr">
        <is>
          <t>Q4</t>
        </is>
      </c>
      <c r="B20" s="33" t="inlineStr">
        <is>
          <t>10月</t>
        </is>
      </c>
      <c r="C20" s="34" t="inlineStr">
        <is>
          <t>双11预热 / 10.10 Shopee</t>
        </is>
      </c>
      <c r="D20" s="35" t="n">
        <v>2996</v>
      </c>
      <c r="E20" s="35" t="n">
        <v>1284</v>
      </c>
      <c r="F20" s="35">
        <f>D20+E20</f>
        <v/>
      </c>
      <c r="G20" s="33" t="inlineStr">
        <is>
          <t>—</t>
        </is>
      </c>
      <c r="H20" s="33" t="inlineStr">
        <is>
          <t>—</t>
        </is>
      </c>
      <c r="I20" s="35" t="n">
        <v>0</v>
      </c>
      <c r="J20" s="34" t="inlineStr">
        <is>
          <t>—</t>
        </is>
      </c>
      <c r="K20" s="36">
        <f>N17</f>
        <v/>
      </c>
      <c r="L20" s="36">
        <f>O17</f>
        <v/>
      </c>
      <c r="M20" s="36">
        <f>K20+L20</f>
        <v/>
      </c>
      <c r="N20" s="35">
        <f>K20+R20-D20</f>
        <v/>
      </c>
      <c r="O20" s="35">
        <f>L20+S20-E20</f>
        <v/>
      </c>
      <c r="P20" s="36">
        <f>N20+O20</f>
        <v/>
      </c>
      <c r="Q20" s="27">
        <f>MAX(0,F20+300-M20-I20)</f>
        <v/>
      </c>
      <c r="R20" s="28">
        <f>ROUND(Q20*0.7,0)</f>
        <v/>
      </c>
      <c r="S20" s="28">
        <f>Q20-R20</f>
        <v/>
      </c>
      <c r="T20" s="29" t="inlineStr">
        <is>
          <t>最晚 7月 下料单（备料2月+生产1月=3月前置）</t>
        </is>
      </c>
    </row>
    <row r="21" ht="22" customHeight="1">
      <c r="A21" s="32" t="inlineStr">
        <is>
          <t>Q4</t>
        </is>
      </c>
      <c r="B21" s="33" t="inlineStr">
        <is>
          <t>11月</t>
        </is>
      </c>
      <c r="C21" s="34" t="inlineStr">
        <is>
          <t>黑五+Cyber Monday / 双11</t>
        </is>
      </c>
      <c r="D21" s="35" t="n">
        <v>3829</v>
      </c>
      <c r="E21" s="35" t="n">
        <v>1641</v>
      </c>
      <c r="F21" s="35">
        <f>D21+E21</f>
        <v/>
      </c>
      <c r="G21" s="33" t="inlineStr">
        <is>
          <t>—</t>
        </is>
      </c>
      <c r="H21" s="33" t="inlineStr">
        <is>
          <t>—</t>
        </is>
      </c>
      <c r="I21" s="35" t="n">
        <v>0</v>
      </c>
      <c r="J21" s="34" t="inlineStr">
        <is>
          <t>—</t>
        </is>
      </c>
      <c r="K21" s="36">
        <f>N20</f>
        <v/>
      </c>
      <c r="L21" s="36">
        <f>O20</f>
        <v/>
      </c>
      <c r="M21" s="36">
        <f>K21+L21</f>
        <v/>
      </c>
      <c r="N21" s="35">
        <f>K21+R21-D21</f>
        <v/>
      </c>
      <c r="O21" s="35">
        <f>L21+S21-E21</f>
        <v/>
      </c>
      <c r="P21" s="36">
        <f>N21+O21</f>
        <v/>
      </c>
      <c r="Q21" s="27">
        <f>MAX(0,F21+300-M21-I21)</f>
        <v/>
      </c>
      <c r="R21" s="28">
        <f>ROUND(Q21*0.7,0)</f>
        <v/>
      </c>
      <c r="S21" s="28">
        <f>Q21-R21</f>
        <v/>
      </c>
      <c r="T21" s="29" t="inlineStr">
        <is>
          <t>最晚 8月 下料单（备料2月+生产1月=3月前置）</t>
        </is>
      </c>
    </row>
    <row r="22" ht="22" customHeight="1">
      <c r="A22" s="32" t="inlineStr">
        <is>
          <t>Q4</t>
        </is>
      </c>
      <c r="B22" s="33" t="inlineStr">
        <is>
          <t>12月</t>
        </is>
      </c>
      <c r="C22" s="34" t="inlineStr">
        <is>
          <t>圣诞礼品季</t>
        </is>
      </c>
      <c r="D22" s="35" t="n">
        <v>2632</v>
      </c>
      <c r="E22" s="35" t="n">
        <v>1128</v>
      </c>
      <c r="F22" s="35">
        <f>D22+E22</f>
        <v/>
      </c>
      <c r="G22" s="33" t="inlineStr">
        <is>
          <t>—</t>
        </is>
      </c>
      <c r="H22" s="33" t="inlineStr">
        <is>
          <t>—</t>
        </is>
      </c>
      <c r="I22" s="35" t="n">
        <v>0</v>
      </c>
      <c r="J22" s="34" t="inlineStr">
        <is>
          <t>—</t>
        </is>
      </c>
      <c r="K22" s="36">
        <f>N21</f>
        <v/>
      </c>
      <c r="L22" s="36">
        <f>O21</f>
        <v/>
      </c>
      <c r="M22" s="36">
        <f>K22+L22</f>
        <v/>
      </c>
      <c r="N22" s="35">
        <f>K22+R22-D22</f>
        <v/>
      </c>
      <c r="O22" s="35">
        <f>L22+S22-E22</f>
        <v/>
      </c>
      <c r="P22" s="36">
        <f>N22+O22</f>
        <v/>
      </c>
      <c r="Q22" s="27">
        <f>MAX(0,F22+300-M22-I22)</f>
        <v/>
      </c>
      <c r="R22" s="28">
        <f>ROUND(Q22*0.7,0)</f>
        <v/>
      </c>
      <c r="S22" s="28">
        <f>Q22-R22</f>
        <v/>
      </c>
      <c r="T22" s="29" t="inlineStr">
        <is>
          <t>最晚 9月 下料单（备料2月+生产1月=3月前置）</t>
        </is>
      </c>
    </row>
    <row r="23" ht="20" customHeight="1">
      <c r="A23" s="37" t="inlineStr">
        <is>
          <t>Q4 小计</t>
        </is>
      </c>
      <c r="C23" s="37" t="n"/>
      <c r="D23" s="38">
        <f>SUM(D20,D21,D22)</f>
        <v/>
      </c>
      <c r="E23" s="38">
        <f>SUM(E20,E21,E22)</f>
        <v/>
      </c>
      <c r="F23" s="38">
        <f>SUM(F20,F21,F22)</f>
        <v/>
      </c>
      <c r="G23" s="38">
        <f>SUM(G20,G21,G22)</f>
        <v/>
      </c>
      <c r="H23" s="38">
        <f>SUM(H20,H21,H22)</f>
        <v/>
      </c>
      <c r="I23" s="38">
        <f>SUM(I20,I21,I22)</f>
        <v/>
      </c>
      <c r="J23" s="37" t="n"/>
      <c r="K23" s="38">
        <f>K20</f>
        <v/>
      </c>
      <c r="L23" s="38">
        <f>L20</f>
        <v/>
      </c>
      <c r="M23" s="38">
        <f>M20</f>
        <v/>
      </c>
      <c r="N23" s="38">
        <f>N22</f>
        <v/>
      </c>
      <c r="O23" s="38">
        <f>O22</f>
        <v/>
      </c>
      <c r="P23" s="38">
        <f>P22</f>
        <v/>
      </c>
      <c r="Q23" s="38">
        <f>SUM(Q20,Q21,Q22)</f>
        <v/>
      </c>
      <c r="R23" s="38">
        <f>SUM(R20,R21,R22)</f>
        <v/>
      </c>
      <c r="S23" s="38">
        <f>SUM(S20,S21,S22)</f>
        <v/>
      </c>
      <c r="T23" s="37" t="n"/>
    </row>
    <row r="24" ht="6" customHeight="1"/>
    <row r="25" ht="28" customHeight="1">
      <c r="A25" s="39" t="inlineStr">
        <is>
          <t>📊  全年合计（Q2–Q4）</t>
        </is>
      </c>
      <c r="D25" s="40">
        <f>SUM(D13,D18,D23)</f>
        <v/>
      </c>
      <c r="E25" s="40">
        <f>SUM(E13,E18,E23)</f>
        <v/>
      </c>
      <c r="F25" s="40">
        <f>SUM(F13,F18,F23)</f>
        <v/>
      </c>
      <c r="G25" s="40">
        <f>SUM(G13,G18,G23)</f>
        <v/>
      </c>
      <c r="H25" s="40">
        <f>SUM(H13,H18,H23)</f>
        <v/>
      </c>
      <c r="I25" s="40">
        <f>SUM(I13,I18,I23)</f>
        <v/>
      </c>
      <c r="J25" s="39" t="n"/>
      <c r="K25" s="40">
        <f>K10</f>
        <v/>
      </c>
      <c r="L25" s="40">
        <f>L10</f>
        <v/>
      </c>
      <c r="M25" s="40">
        <f>M10</f>
        <v/>
      </c>
      <c r="N25" s="40">
        <f>N22</f>
        <v/>
      </c>
      <c r="O25" s="40">
        <f>O22</f>
        <v/>
      </c>
      <c r="P25" s="40">
        <f>P22</f>
        <v/>
      </c>
      <c r="Q25" s="40">
        <f>SUM(Q13,Q18,Q23)</f>
        <v/>
      </c>
      <c r="R25" s="40">
        <f>SUM(R13,R18,R23)</f>
        <v/>
      </c>
      <c r="S25" s="40">
        <f>SUM(S13,S18,S23)</f>
        <v/>
      </c>
      <c r="T25" s="39" t="n"/>
    </row>
    <row r="27" ht="8" customHeight="1"/>
    <row r="28" ht="36" customHeight="1">
      <c r="A28" s="41" t="inlineStr">
        <is>
          <t>★ 建议月产能：≥ 6,000台/月  |  峰值月：11月（黑五+双11）需到货 5,470台  |  若按6,000台/月产能规划，可安全覆盖全年所有月份需求  |  ★ 最紧急：8月货需在 5月下料单（当前距下单仅剩约2个月，务必尽快确认）</t>
        </is>
      </c>
    </row>
    <row r="30" ht="5" customHeight="1"/>
    <row r="31" ht="14" customHeight="1">
      <c r="A31" s="42" t="inlineStr">
        <is>
          <t>📐 公式说明：</t>
        </is>
      </c>
    </row>
    <row r="32" ht="14" customHeight="1">
      <c r="A32" s="43" t="inlineStr">
        <is>
          <t xml:space="preserve">  F = D+E（月需求合计）  |  I = G+H（已知在产入库合计）  |  M = K+L（期初库存合计）</t>
        </is>
      </c>
    </row>
    <row r="33" ht="14" customHeight="1">
      <c r="A33" s="44" t="inlineStr">
        <is>
          <t xml:space="preserve">  ★ Q（计划到货合计）= MAX(0, F + 300 − M − I)</t>
        </is>
      </c>
    </row>
    <row r="34" ht="14" customHeight="1">
      <c r="A34" s="43" t="inlineStr">
        <is>
          <t xml:space="preserve">      → 精确计算本月需补货多少才能让期末=300安全库存，不多不少</t>
        </is>
      </c>
    </row>
    <row r="35" ht="14" customHeight="1">
      <c r="A35" s="43" t="inlineStr">
        <is>
          <t xml:space="preserve">      → 已知在产入库（G/H）优先抵扣，不重复排产</t>
        </is>
      </c>
    </row>
    <row r="36" ht="14" customHeight="1">
      <c r="A36" s="43" t="inlineStr">
        <is>
          <t xml:space="preserve">  R（计划到货黑）= ROUND(Q × 70%)  |  S（计划到货银）= Q − R</t>
        </is>
      </c>
    </row>
    <row r="37" ht="14" customHeight="1">
      <c r="A37" s="43" t="inlineStr">
        <is>
          <t xml:space="preserve">  N（期末黑）= K + G + R − D  |  O（期末银）= L + H + S − E  |  P = N+O（期末合计）</t>
        </is>
      </c>
    </row>
    <row r="38" ht="14" customHeight="1">
      <c r="A38" s="43" t="inlineStr">
        <is>
          <t xml:space="preserve">  期末 ≥ 300台为达标，等于300台代表精确补到安全库存线</t>
        </is>
      </c>
    </row>
  </sheetData>
  <mergeCells count="21">
    <mergeCell ref="A25:C25"/>
    <mergeCell ref="A31:T31"/>
    <mergeCell ref="A34:T34"/>
    <mergeCell ref="N8:P8"/>
    <mergeCell ref="A36:T36"/>
    <mergeCell ref="A1:T1"/>
    <mergeCell ref="K8:M8"/>
    <mergeCell ref="A6:T6"/>
    <mergeCell ref="A18:B18"/>
    <mergeCell ref="D8:F8"/>
    <mergeCell ref="A37:T37"/>
    <mergeCell ref="Q8:T8"/>
    <mergeCell ref="G8:J8"/>
    <mergeCell ref="A33:T33"/>
    <mergeCell ref="A23:B23"/>
    <mergeCell ref="A8:B8"/>
    <mergeCell ref="A32:T32"/>
    <mergeCell ref="A35:T35"/>
    <mergeCell ref="A13:B13"/>
    <mergeCell ref="A38:T38"/>
    <mergeCell ref="A28:T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2026-03-19T11:49:04Z</dcterms:created>
  <dcterms:modified xmlns:dcterms="http://purl.org/dc/terms/" xmlns:xsi="http://www.w3.org/2001/XMLSchema-instance" xsi:type="dcterms:W3CDTF">2026-03-19T11:49:04Z</dcterms:modified>
</cp:coreProperties>
</file>
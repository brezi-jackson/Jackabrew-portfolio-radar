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库存明细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<sst xmlns="http://schemas.openxmlformats.org/spreadsheetml/2006/main" count="1" uniqueCount="1">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</sst>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theme="1"/>
      <name val="Calibri"/>
      <family val="2"/>
      <scheme val="minor"/>
    </font>
    <font>
      <sz val="15.7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25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center" vertical="center" wrapText="true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6" fillId="0" fontId="3" numFmtId="0" xfId="0">
      <alignment horizontal="center" vertical="center"/>
    </xf>
    <xf applyAlignment="true" applyBorder="false" applyFill="false" applyFont="true" applyNumberFormat="false" applyProtection="false" borderId="7" fillId="0" fontId="4" numFmtId="0" xfId="0">
      <alignment horizontal="center" vertical="center"/>
    </xf>
    <xf applyAlignment="true" applyBorder="false" applyFill="false" applyFont="true" applyNumberFormat="false" applyProtection="false" borderId="8" fillId="0" fontId="3" numFmtId="0" xfId="0">
      <alignment horizontal="center" vertical="center"/>
    </xf>
    <xf applyAlignment="true" applyBorder="false" applyFill="false" applyFont="true" applyNumberFormat="false" applyProtection="false" borderId="9" fillId="0" fontId="3" numFmtId="0" xfId="0">
      <alignment horizontal="center" vertical="center"/>
    </xf>
    <xf applyAlignment="true" applyBorder="false" applyFill="false" applyFont="true" applyNumberFormat="false" applyProtection="false" borderId="10" fillId="0" fontId="4" numFmtId="0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false" applyProtection="false" borderId="12" fillId="0" fontId="5" numFmtId="0" xfId="0">
      <alignment horizontal="center" vertical="center"/>
    </xf>
    <xf applyAlignment="true" applyBorder="false" applyFill="false" applyFont="true" applyNumberFormat="false" applyProtection="false" borderId="13" fillId="0" fontId="6" numFmtId="0" xfId="0">
      <alignment vertical="center"/>
    </xf>
    <xf applyAlignment="true" applyBorder="false" applyFill="false" applyFont="true" applyNumberFormat="false" applyProtection="false" borderId="14" fillId="0" fontId="3" numFmtId="0" xfId="0">
      <alignment vertical="center"/>
    </xf>
    <xf applyAlignment="true" applyBorder="false" applyFill="false" applyFont="true" applyNumberFormat="false" applyProtection="false" borderId="15" fillId="0" fontId="1" numFmtId="0" xfId="0">
      <alignment horizontal="center" vertical="center"/>
    </xf>
    <xf applyAlignment="true" applyBorder="false" applyFill="false" applyFont="true" applyNumberFormat="false" applyProtection="false" borderId="16" fillId="0" fontId="3" numFmtId="0" xfId="0">
      <alignment vertical="center"/>
    </xf>
    <xf applyAlignment="true" applyBorder="false" applyFill="false" applyFont="true" applyNumberFormat="false" applyProtection="false" borderId="17" fillId="0" fontId="3" numFmtId="0" xfId="0">
      <alignment vertical="center"/>
    </xf>
    <xf applyAlignment="true" applyBorder="false" applyFill="false" applyFont="true" applyNumberFormat="false" applyProtection="false" borderId="18" fillId="0" fontId="6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31"/>
    <col collapsed="false" customWidth="true" hidden="false" max="2" min="2" style="0" width="31"/>
    <col collapsed="false" customWidth="true" hidden="false" max="3" min="3" style="0" width="18"/>
    <col collapsed="false" customWidth="true" hidden="false" max="4" min="4" style="0" width="19"/>
    <col collapsed="false" customWidth="true" hidden="false" max="5" min="5" style="0" width="22"/>
    <col collapsed="false" customWidth="true" hidden="false" max="6" min="6" style="0" width="22"/>
    <col collapsed="false" customWidth="true" hidden="false" max="7" min="7" style="0" width="22"/>
  </cols>
  <sheetData>
    <row r="1">
      <c r="A1" s="12" t="str">
        <v>HS-1025目前库存明细(1993pc）</v>
      </c>
      <c r="B1" s="12"/>
      <c r="C1" s="12"/>
      <c r="D1" s="12"/>
      <c r="E1" s="12"/>
      <c r="F1" s="12"/>
      <c r="G1" s="12"/>
    </row>
    <row r="2">
      <c r="A2" s="2" t="str">
        <v>库存地址</v>
      </c>
      <c r="B2" s="2" t="str">
        <v>PO NO.</v>
      </c>
      <c r="C2" s="2" t="str">
        <v>规格</v>
      </c>
      <c r="D2" s="2" t="str">
        <v>颜色</v>
      </c>
      <c r="E2" s="2"/>
      <c r="F2" s="18" t="str">
        <v>总计</v>
      </c>
      <c r="G2" s="18" t="str">
        <v>备注</v>
      </c>
    </row>
    <row r="3">
      <c r="A3" s="2"/>
      <c r="B3" s="2"/>
      <c r="C3" s="2"/>
      <c r="D3" s="2" t="str">
        <v>黑色</v>
      </c>
      <c r="E3" s="3" t="str">
        <v>银色</v>
      </c>
      <c r="F3" s="18"/>
      <c r="G3" s="18"/>
    </row>
    <row r="4">
      <c r="A4" s="1" t="str">
        <v>辉骏工厂</v>
      </c>
      <c r="B4" s="1" t="str">
        <v>BRZ-8-1K-202508080001
</v>
      </c>
      <c r="C4" s="2" t="str">
        <v>英规</v>
      </c>
      <c r="D4" s="2">
        <v>100</v>
      </c>
      <c r="E4" s="3">
        <v>100</v>
      </c>
      <c r="F4" s="4">
        <f>D9+E9+D15+E15</f>
      </c>
      <c r="G4" s="4" t="str">
        <v>2台装
黑色水箱为改模前
银色水箱为改模后</v>
      </c>
    </row>
    <row r="5">
      <c r="A5" s="1"/>
      <c r="B5" s="1"/>
      <c r="C5" s="2" t="str">
        <v>美规</v>
      </c>
      <c r="D5" s="2">
        <v>96</v>
      </c>
      <c r="E5" s="3">
        <v>150</v>
      </c>
      <c r="F5" s="4"/>
      <c r="G5" s="4"/>
    </row>
    <row r="6">
      <c r="A6" s="1"/>
      <c r="B6" s="1"/>
      <c r="C6" s="2" t="str">
        <v>欧规</v>
      </c>
      <c r="D6" s="2">
        <v>100</v>
      </c>
      <c r="E6" s="3">
        <v>100</v>
      </c>
      <c r="F6" s="4"/>
      <c r="G6" s="4"/>
    </row>
    <row r="7">
      <c r="A7" s="1"/>
      <c r="B7" s="1"/>
      <c r="C7" s="2" t="str">
        <v>国标</v>
      </c>
      <c r="D7" s="2">
        <v>23</v>
      </c>
      <c r="E7" s="3">
        <v>100</v>
      </c>
      <c r="F7" s="4"/>
      <c r="G7" s="4"/>
    </row>
    <row r="8">
      <c r="A8" s="1"/>
      <c r="B8" s="1"/>
      <c r="C8" s="2" t="str">
        <v>日规</v>
      </c>
      <c r="D8" s="2">
        <v>50</v>
      </c>
      <c r="E8" s="3">
        <v>50</v>
      </c>
      <c r="F8" s="4"/>
      <c r="G8" s="4"/>
    </row>
    <row r="9">
      <c r="A9" s="1"/>
      <c r="B9" s="1"/>
      <c r="C9" s="2" t="str">
        <v>总计</v>
      </c>
      <c r="D9" s="2">
        <v>369</v>
      </c>
      <c r="E9" s="3">
        <v>500</v>
      </c>
      <c r="F9" s="4"/>
      <c r="G9" s="4"/>
    </row>
    <row r="10">
      <c r="A10" s="1"/>
      <c r="B10" s="13"/>
      <c r="C10" s="13"/>
      <c r="D10" s="13"/>
      <c r="E10" s="13"/>
      <c r="F10" s="4"/>
      <c r="G10" s="13"/>
      <c r="H10" s="14">
        <v>900</v>
      </c>
    </row>
    <row r="11">
      <c r="A11" s="1"/>
      <c r="B11" s="2" t="str">
        <v>PO NO.</v>
      </c>
      <c r="C11" s="2" t="str">
        <v>规格</v>
      </c>
      <c r="D11" s="2" t="str">
        <v>颜色</v>
      </c>
      <c r="E11" s="2"/>
      <c r="F11" s="4"/>
      <c r="G11" s="2" t="str">
        <v>备注</v>
      </c>
    </row>
    <row r="12">
      <c r="A12" s="1"/>
      <c r="B12" s="2"/>
      <c r="C12" s="2"/>
      <c r="D12" s="2" t="str">
        <v>黑色</v>
      </c>
      <c r="E12" s="2" t="str">
        <v>银色</v>
      </c>
      <c r="F12" s="4"/>
      <c r="G12" s="2"/>
    </row>
    <row r="13">
      <c r="A13" s="1"/>
      <c r="B13" s="2" t="str">
        <v>BRZ-12-3K-20251205001</v>
      </c>
      <c r="C13" s="2" t="str">
        <v>英规</v>
      </c>
      <c r="D13" s="2">
        <v>232</v>
      </c>
      <c r="E13" s="2"/>
      <c r="F13" s="4"/>
      <c r="G13" s="5" t="str">
        <v>2台装、改模后水箱</v>
      </c>
    </row>
    <row r="14">
      <c r="A14" s="1"/>
      <c r="B14" s="2"/>
      <c r="C14" s="2"/>
      <c r="D14" s="2">
        <v>368</v>
      </c>
      <c r="E14" s="2">
        <v>400</v>
      </c>
      <c r="F14" s="4"/>
      <c r="G14" s="5" t="str">
        <v>单台装、改模后水箱</v>
      </c>
    </row>
    <row r="15">
      <c r="A15" s="1"/>
      <c r="B15" s="2"/>
      <c r="C15" s="2" t="str">
        <v>总计</v>
      </c>
      <c r="D15" s="2">
        <v>600</v>
      </c>
      <c r="E15" s="2">
        <v>400</v>
      </c>
      <c r="F15" s="4"/>
      <c r="G15" s="2"/>
    </row>
    <row r="16"/>
    <row customHeight="true" ht="19" r="17">
      <c r="A17" s="7"/>
      <c r="B17" s="6"/>
      <c r="C17" s="6"/>
      <c r="D17" s="6"/>
      <c r="E17" s="6"/>
      <c r="F17" s="6"/>
      <c r="G17" s="6"/>
    </row>
    <row customHeight="true" ht="19" r="18">
      <c r="A18" s="10" t="str">
        <v>深圳公司</v>
      </c>
      <c r="B18" s="15" t="str">
        <v>PO NO.</v>
      </c>
      <c r="C18" s="11" t="str">
        <v>规格</v>
      </c>
      <c r="D18" s="11" t="str">
        <v>颜色</v>
      </c>
      <c r="E18" s="11"/>
      <c r="F18" s="11" t="str">
        <v>总计</v>
      </c>
      <c r="G18" s="11" t="str">
        <v>备注</v>
      </c>
    </row>
    <row customHeight="true" ht="19" r="19">
      <c r="A19" s="10"/>
      <c r="B19" s="15"/>
      <c r="C19" s="11"/>
      <c r="D19" s="11" t="str">
        <v>黑色</v>
      </c>
      <c r="E19" s="11" t="str">
        <v>银色</v>
      </c>
      <c r="F19" s="11"/>
      <c r="G19" s="11"/>
    </row>
    <row r="20">
      <c r="A20" s="10"/>
      <c r="B20" s="9"/>
      <c r="C20" s="11" t="str">
        <v>国规</v>
      </c>
      <c r="D20" s="8">
        <v>20</v>
      </c>
      <c r="E20" s="8"/>
      <c r="F20" s="8">
        <f>D22+E22</f>
      </c>
      <c r="G20" s="8"/>
    </row>
    <row r="21">
      <c r="A21" s="10"/>
      <c r="B21" s="9"/>
      <c r="C21" s="11" t="str">
        <v>美规</v>
      </c>
      <c r="D21" s="8"/>
      <c r="E21" s="8">
        <v>104</v>
      </c>
      <c r="F21" s="8"/>
      <c r="G21" s="8"/>
    </row>
    <row r="22">
      <c r="A22" s="10"/>
      <c r="B22" s="17"/>
      <c r="C22" s="2" t="str">
        <v>总计</v>
      </c>
      <c r="D22" s="16">
        <f>D20+D21</f>
      </c>
      <c r="E22" s="16">
        <f>E20+E21</f>
      </c>
      <c r="F22" s="8"/>
      <c r="G22" s="16"/>
    </row>
  </sheetData>
  <mergeCells>
    <mergeCell ref="C13:C14"/>
    <mergeCell ref="B13:B15"/>
    <mergeCell ref="D11:E11"/>
    <mergeCell ref="C11:C12"/>
    <mergeCell ref="B11:B12"/>
    <mergeCell ref="B4:B9"/>
    <mergeCell ref="D2:E2"/>
    <mergeCell ref="C2:C3"/>
    <mergeCell ref="B2:B3"/>
    <mergeCell ref="A2:A3"/>
    <mergeCell ref="A4:A15"/>
    <mergeCell ref="D18:E18"/>
    <mergeCell ref="C18:C19"/>
    <mergeCell ref="B18:B19"/>
    <mergeCell ref="G18:G19"/>
    <mergeCell ref="A1:G1"/>
    <mergeCell ref="G2:G3"/>
    <mergeCell ref="G4:G9"/>
    <mergeCell ref="G11:G12"/>
    <mergeCell ref="F2:F3"/>
    <mergeCell ref="F4:F15"/>
    <mergeCell ref="F18:F19"/>
    <mergeCell ref="A18:A22"/>
    <mergeCell ref="F20:F2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
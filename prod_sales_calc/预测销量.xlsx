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<sst xmlns="http://schemas.openxmlformats.org/spreadsheetml/2006/main" count="1" uniqueCount="1">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</sst>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vertical="top" wrapText="true"/>
    </xf>
    <xf applyAlignment="true" applyBorder="false" applyFill="false" applyFont="true" applyNumberFormat="false" applyProtection="false" borderId="3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9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</cols>
  <sheetData>
    <row r="1">
      <c r="A1" s="1" t="str">
        <v>
月份</v>
      </c>
      <c r="B1" s="1" t="str">
        <v>关键节点</v>
      </c>
      <c r="C1" s="1" t="str">
        <v>
美国</v>
      </c>
      <c r="D1" s="1" t="str">
        <v>
国内</v>
      </c>
      <c r="E1" s="1" t="str">
        <v>
Soar</v>
      </c>
      <c r="F1" s="1" t="str">
        <v>
线下</v>
      </c>
      <c r="G1" s="1" t="str">
        <v>
营销预留</v>
      </c>
      <c r="H1" s="1" t="str">
        <v>
月合计</v>
      </c>
    </row>
    <row r="2">
      <c r="A2" s="1" t="str">
        <v>
4月</v>
      </c>
      <c r="B2" s="1"/>
      <c r="C2" s="1">
        <v>0</v>
      </c>
      <c r="D2" s="1">
        <v>50</v>
      </c>
      <c r="E2" s="1">
        <v>80</v>
      </c>
      <c r="F2" s="1">
        <f>C2+E2/2</f>
      </c>
      <c r="G2" s="1">
        <v>30</v>
      </c>
      <c r="H2" s="1">
        <f>SUM(C2:G2)</f>
      </c>
    </row>
    <row r="3">
      <c r="A3" s="1" t="str">
        <v>
5月</v>
      </c>
      <c r="B3" s="1"/>
      <c r="C3" s="1">
        <v>10</v>
      </c>
      <c r="D3" s="1">
        <v>50</v>
      </c>
      <c r="E3" s="1">
        <v>100</v>
      </c>
      <c r="F3" s="1">
        <f>C3+E3/2</f>
      </c>
      <c r="G3" s="1">
        <v>40</v>
      </c>
      <c r="H3" s="1">
        <f>SUM(C3:G3)</f>
      </c>
    </row>
    <row r="4">
      <c r="A4" s="1" t="str">
        <v>
6月</v>
      </c>
      <c r="B4" s="1" t="str">
        <v>🇨🇳618
🇺🇸 Prime Day（6月中）</v>
      </c>
      <c r="C4" s="1">
        <v>200</v>
      </c>
      <c r="D4" s="1">
        <v>300</v>
      </c>
      <c r="E4" s="1">
        <v>150</v>
      </c>
      <c r="F4" s="1">
        <f>C4+E4/2</f>
      </c>
      <c r="G4" s="1">
        <v>40</v>
      </c>
      <c r="H4" s="1">
        <f>SUM(C4:G4)</f>
      </c>
    </row>
    <row r="5">
      <c r="A5" s="1" t="str">
        <v>
Q2 小计</v>
      </c>
      <c r="B5" s="1"/>
      <c r="C5" s="1">
        <f>SUM(C2:C4)</f>
      </c>
      <c r="D5" s="1">
        <f>SUM(D2:D4)</f>
      </c>
      <c r="E5" s="1">
        <f>SUM(E2:E4)</f>
      </c>
      <c r="F5" s="1">
        <f>SUM(F2:F4)</f>
      </c>
      <c r="G5" s="1">
        <f>SUM(G2:G4)</f>
      </c>
      <c r="H5" s="1">
        <f>SUM(H2:H4)</f>
      </c>
    </row>
    <row r="6">
      <c r="A6" s="1"/>
      <c r="B6" s="1"/>
      <c r="C6" s="1"/>
      <c r="D6" s="1"/>
      <c r="E6" s="1"/>
      <c r="F6" s="1"/>
      <c r="G6" s="1"/>
      <c r="H6" s="1"/>
    </row>
    <row r="7">
      <c r="A7" s="1" t="str">
        <v>
7月</v>
      </c>
      <c r="B7" s="2" t="str">
        <v>
🇦🇺澳洲 EOFY 年中特卖尾声</v>
      </c>
      <c r="C7" s="1">
        <v>300</v>
      </c>
      <c r="D7" s="1">
        <v>200</v>
      </c>
      <c r="E7" s="1">
        <v>500</v>
      </c>
      <c r="F7" s="1">
        <f>C7+E7/2</f>
      </c>
      <c r="G7" s="1">
        <v>40</v>
      </c>
      <c r="H7" s="1">
        <f>SUM(C7:G7)</f>
      </c>
    </row>
    <row r="8">
      <c r="A8" s="1" t="str">
        <v>
8月</v>
      </c>
      <c r="B8" s="1" t="str">
        <v>🇺🇸Back to School 季</v>
      </c>
      <c r="C8" s="1">
        <v>400</v>
      </c>
      <c r="D8" s="1">
        <v>300</v>
      </c>
      <c r="E8" s="1">
        <v>800</v>
      </c>
      <c r="F8" s="1">
        <f>C8+E8/2</f>
      </c>
      <c r="G8" s="1">
        <v>40</v>
      </c>
      <c r="H8" s="1">
        <f>SUM(C8:G8)</f>
      </c>
    </row>
    <row r="9">
      <c r="A9" s="1" t="str">
        <v>
9月</v>
      </c>
      <c r="B9" s="1" t="str">
        <v>🇺🇸 Labor Day（9月第一周）
🇨🇳开始双11预热</v>
      </c>
      <c r="C9" s="1">
        <v>600</v>
      </c>
      <c r="D9" s="1">
        <v>300</v>
      </c>
      <c r="E9" s="1">
        <v>800</v>
      </c>
      <c r="F9" s="1">
        <f>C9+E9/2</f>
      </c>
      <c r="G9" s="1">
        <v>40</v>
      </c>
      <c r="H9" s="1">
        <f>SUM(C9:G9)</f>
      </c>
    </row>
    <row r="10">
      <c r="A10" s="1" t="str">
        <v>
Q3 小计</v>
      </c>
      <c r="B10" s="1"/>
      <c r="C10" s="1">
        <f>SUM(C7:C9)</f>
      </c>
      <c r="D10" s="1">
        <f>SUM(D7:D9)</f>
      </c>
      <c r="E10" s="1">
        <f>SUM(E7:E9)</f>
      </c>
      <c r="F10" s="1">
        <f>SUM(F7:F9)</f>
      </c>
      <c r="G10" s="1">
        <f>SUM(G7:G9)</f>
      </c>
      <c r="H10" s="1">
        <f>SUM(H7:H9)</f>
      </c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 t="str">
        <v>
10月</v>
      </c>
      <c r="B12" s="1" t="str">
        <v>🌏 10.10 Shopee（泰国 / 新加坡）
🇨🇳正式双11预热</v>
      </c>
      <c r="C12" s="1">
        <v>650</v>
      </c>
      <c r="D12" s="1">
        <v>1300</v>
      </c>
      <c r="E12" s="1">
        <v>1100</v>
      </c>
      <c r="F12" s="1">
        <f>C12+E12/2</f>
      </c>
      <c r="G12" s="1">
        <v>30</v>
      </c>
      <c r="H12" s="1">
        <f>SUM(C12:G12)</f>
      </c>
    </row>
    <row r="13">
      <c r="A13" s="1" t="str">
        <v>
11月</v>
      </c>
      <c r="B13" s="1" t="str">
        <v>🌏 11.11 Shopee 同步
🇺🇸黑五+Cyber Monday</v>
      </c>
      <c r="C13" s="1">
        <v>1400</v>
      </c>
      <c r="D13" s="1">
        <v>700</v>
      </c>
      <c r="E13" s="1">
        <v>1300</v>
      </c>
      <c r="F13" s="1">
        <f>C13+E13/2</f>
      </c>
      <c r="G13" s="1">
        <v>20</v>
      </c>
      <c r="H13" s="1">
        <f>SUM(C13:G13)</f>
      </c>
    </row>
    <row r="14">
      <c r="A14" s="1" t="str">
        <v>
12月</v>
      </c>
      <c r="B14" s="1" t="str">
        <v>🇺🇸🎄 圣诞礼品季（美国 / 澳洲 / 新加坡）</v>
      </c>
      <c r="C14" s="1">
        <v>800</v>
      </c>
      <c r="D14" s="1">
        <v>500</v>
      </c>
      <c r="E14" s="1">
        <v>1100</v>
      </c>
      <c r="F14" s="1">
        <f>C14+E14/2</f>
      </c>
      <c r="G14" s="1">
        <v>10</v>
      </c>
      <c r="H14" s="1">
        <f>SUM(C14:G14)</f>
      </c>
    </row>
    <row r="15">
      <c r="A15" s="1" t="str">
        <v>
Q4 小计</v>
      </c>
      <c r="B15" s="1"/>
      <c r="C15" s="1">
        <f>SUM(C12:C14)</f>
      </c>
      <c r="D15" s="1">
        <f>SUM(D12:D14)</f>
      </c>
      <c r="E15" s="1">
        <f>SUM(E12:E14)</f>
      </c>
      <c r="F15" s="1">
        <f>SUM(F12:F14)</f>
      </c>
      <c r="G15" s="1">
        <f>SUM(G12:G14)</f>
      </c>
      <c r="H15" s="1">
        <f>SUM(H12:H14)</f>
      </c>
    </row>
    <row r="16">
      <c r="A16" s="1"/>
      <c r="B16" s="1"/>
      <c r="C16" s="1" t="str">
        <v>
美国</v>
      </c>
      <c r="D16" s="1" t="str">
        <v>
国内</v>
      </c>
      <c r="E16" s="1" t="str">
        <v>
Soar</v>
      </c>
      <c r="F16" s="1" t="str">
        <v>
线下</v>
      </c>
      <c r="G16" s="1" t="str">
        <v>
营销预留</v>
      </c>
      <c r="H16" s="1" t="str">
        <v>合计</v>
      </c>
    </row>
    <row r="17">
      <c r="A17" s="3"/>
      <c r="B17" s="1" t="str">
        <v>全年统计</v>
      </c>
      <c r="C17" s="1">
        <f>SUM(C5,C10,C15)</f>
      </c>
      <c r="D17" s="1">
        <f>SUM(D5,D10,D15)</f>
      </c>
      <c r="E17" s="1">
        <f>SUM(E5,E10,E15)</f>
      </c>
      <c r="F17" s="1">
        <f>SUM(F5,F10,F15)</f>
      </c>
      <c r="G17" s="1">
        <f>SUM(G5,G10,G15)</f>
      </c>
      <c r="H17" s="1">
        <f>SUM(H5,H10,H15)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
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数据" sheetId="1" state="visible" r:id="rId1"/>
    <sheet xmlns:r="http://schemas.openxmlformats.org/officeDocument/2006/relationships" name="月度推算表" sheetId="2" state="visible" r:id="rId2"/>
    <sheet xmlns:r="http://schemas.openxmlformats.org/officeDocument/2006/relationships" name="备料投产节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sz val="11"/>
    </font>
    <font>
      <b val="1"/>
      <color rgb="00FFFFFF"/>
      <sz val="12"/>
    </font>
    <font>
      <i val="1"/>
      <color rgb="00444444"/>
      <sz val="10"/>
    </font>
    <font>
      <i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D9B3"/>
      </patternFill>
    </fill>
    <fill>
      <patternFill patternType="solid">
        <fgColor rgb="00FFFF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36" customWidth="1" min="4" max="4"/>
  </cols>
  <sheetData>
    <row r="1">
      <c r="A1" s="1" t="inlineStr">
        <is>
          <t>产销推算表 — 基础数据</t>
        </is>
      </c>
    </row>
    <row r="2">
      <c r="A2" s="2" t="inlineStr">
        <is>
          <t>参数</t>
        </is>
      </c>
      <c r="B2" s="2" t="inlineStr">
        <is>
          <t>黑色</t>
        </is>
      </c>
      <c r="C2" s="2" t="inlineStr">
        <is>
          <t>银色</t>
        </is>
      </c>
      <c r="D2" s="2" t="inlineStr">
        <is>
          <t>说明</t>
        </is>
      </c>
    </row>
    <row r="3">
      <c r="A3" s="3" t="inlineStr">
        <is>
          <t>初始库存</t>
        </is>
      </c>
      <c r="B3" s="3" t="n">
        <v>989</v>
      </c>
      <c r="C3" s="3" t="n">
        <v>1004</v>
      </c>
      <c r="D3" s="3" t="inlineStr">
        <is>
          <t>3月初期初库存</t>
        </is>
      </c>
    </row>
    <row r="4">
      <c r="A4" s="3" t="inlineStr">
        <is>
          <t>在产入库（3月）</t>
        </is>
      </c>
      <c r="B4" s="3" t="n">
        <v>1400</v>
      </c>
      <c r="C4" s="3" t="n">
        <v>600</v>
      </c>
      <c r="D4" s="3" t="inlineStr">
        <is>
          <t>2月已投产，3月到库（含在该行）</t>
        </is>
      </c>
    </row>
    <row r="5">
      <c r="A5" s="3" t="inlineStr">
        <is>
          <t>月产能上限（黑+银）</t>
        </is>
      </c>
      <c r="B5" s="3" t="n">
        <v>3500</v>
      </c>
      <c r="C5" s="3" t="inlineStr">
        <is>
          <t>/</t>
        </is>
      </c>
      <c r="D5" s="3" t="inlineStr">
        <is>
          <t>每月黑色+银色总投产 ≤ 3500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</cols>
  <sheetData>
    <row r="1">
      <c r="A1" s="4" t="inlineStr">
        <is>
          <t>月度产销推算表（期末库存 = 期初库存 + 在产入库 + 本月投产 − 本月需求）</t>
        </is>
      </c>
    </row>
    <row r="2" ht="36" customHeight="1">
      <c r="A2" s="5" t="inlineStr">
        <is>
          <t>月份</t>
        </is>
      </c>
      <c r="B2" s="5" t="inlineStr">
        <is>
          <t>期初库存
黑色</t>
        </is>
      </c>
      <c r="C2" s="5" t="inlineStr">
        <is>
          <t>期初库存
银色</t>
        </is>
      </c>
      <c r="D2" s="5" t="inlineStr">
        <is>
          <t>在产入库
黑色</t>
        </is>
      </c>
      <c r="E2" s="5" t="inlineStr">
        <is>
          <t>在产入库
银色</t>
        </is>
      </c>
      <c r="F2" s="5" t="inlineStr">
        <is>
          <t>本月投产
黑色</t>
        </is>
      </c>
      <c r="G2" s="5" t="inlineStr">
        <is>
          <t>本月投产
银色</t>
        </is>
      </c>
      <c r="H2" s="5" t="inlineStr">
        <is>
          <t>总投产</t>
        </is>
      </c>
      <c r="I2" s="5" t="inlineStr">
        <is>
          <t>需求
黑色</t>
        </is>
      </c>
      <c r="J2" s="5" t="inlineStr">
        <is>
          <t>需求
银色</t>
        </is>
      </c>
      <c r="K2" s="5" t="inlineStr">
        <is>
          <t>期末库存
黑色</t>
        </is>
      </c>
      <c r="L2" s="5" t="inlineStr">
        <is>
          <t>期末库存
银色</t>
        </is>
      </c>
      <c r="M2" s="5" t="inlineStr">
        <is>
          <t>备料月份</t>
        </is>
      </c>
      <c r="N2" s="5" t="inlineStr">
        <is>
          <t>投产月份</t>
        </is>
      </c>
    </row>
    <row r="3">
      <c r="A3" s="3" t="inlineStr">
        <is>
          <t>3月</t>
        </is>
      </c>
      <c r="B3" s="3">
        <f>'基础数据'!B3</f>
        <v/>
      </c>
      <c r="C3" s="3">
        <f>'基础数据'!C3</f>
        <v/>
      </c>
      <c r="D3" s="3">
        <f>'基础数据'!B4</f>
        <v/>
      </c>
      <c r="E3" s="3">
        <f>'基础数据'!C4</f>
        <v/>
      </c>
      <c r="F3" s="3" t="n">
        <v>0</v>
      </c>
      <c r="G3" s="3" t="n">
        <v>0</v>
      </c>
      <c r="H3" s="3">
        <f>F3+G3</f>
        <v/>
      </c>
      <c r="I3" s="3" t="n">
        <v>0</v>
      </c>
      <c r="J3" s="3" t="n">
        <v>0</v>
      </c>
      <c r="K3" s="3">
        <f>B3+D3+F3-I3</f>
        <v/>
      </c>
      <c r="L3" s="3">
        <f>C3+E3+G3-J3</f>
        <v/>
      </c>
      <c r="M3" s="3" t="inlineStr">
        <is>
          <t>1月</t>
        </is>
      </c>
      <c r="N3" s="3" t="inlineStr">
        <is>
          <t>2月</t>
        </is>
      </c>
    </row>
    <row r="4">
      <c r="A4" s="3" t="inlineStr">
        <is>
          <t>4月</t>
        </is>
      </c>
      <c r="B4" s="3">
        <f>K3</f>
        <v/>
      </c>
      <c r="C4" s="3">
        <f>L3</f>
        <v/>
      </c>
      <c r="D4" s="3" t="n">
        <v>0</v>
      </c>
      <c r="E4" s="3" t="n">
        <v>0</v>
      </c>
      <c r="F4" s="3" t="n">
        <v>0</v>
      </c>
      <c r="G4" s="3" t="n">
        <v>0</v>
      </c>
      <c r="H4" s="3">
        <f>F4+G4</f>
        <v/>
      </c>
      <c r="I4" s="3" t="n">
        <v>140</v>
      </c>
      <c r="J4" s="3" t="n">
        <v>60</v>
      </c>
      <c r="K4" s="3">
        <f>B4+D4+F4-I4</f>
        <v/>
      </c>
      <c r="L4" s="3">
        <f>C4+E4+G4-J4</f>
        <v/>
      </c>
      <c r="M4" s="3" t="inlineStr">
        <is>
          <t>2月</t>
        </is>
      </c>
      <c r="N4" s="3" t="inlineStr">
        <is>
          <t>3月</t>
        </is>
      </c>
    </row>
    <row r="5">
      <c r="A5" s="3" t="inlineStr">
        <is>
          <t>5月</t>
        </is>
      </c>
      <c r="B5" s="3">
        <f>K4</f>
        <v/>
      </c>
      <c r="C5" s="3">
        <f>L4</f>
        <v/>
      </c>
      <c r="D5" s="3" t="n">
        <v>0</v>
      </c>
      <c r="E5" s="3" t="n">
        <v>0</v>
      </c>
      <c r="F5" s="3" t="n">
        <v>0</v>
      </c>
      <c r="G5" s="3" t="n">
        <v>0</v>
      </c>
      <c r="H5" s="3">
        <f>F5+G5</f>
        <v/>
      </c>
      <c r="I5" s="3" t="n">
        <v>182</v>
      </c>
      <c r="J5" s="3" t="n">
        <v>78</v>
      </c>
      <c r="K5" s="3">
        <f>B5+D5+F5-I5</f>
        <v/>
      </c>
      <c r="L5" s="3">
        <f>C5+E5+G5-J5</f>
        <v/>
      </c>
      <c r="M5" s="3" t="inlineStr">
        <is>
          <t>3月</t>
        </is>
      </c>
      <c r="N5" s="3" t="inlineStr">
        <is>
          <t>4月</t>
        </is>
      </c>
    </row>
    <row r="6">
      <c r="A6" s="3" t="inlineStr">
        <is>
          <t>6月</t>
        </is>
      </c>
      <c r="B6" s="3">
        <f>K5</f>
        <v/>
      </c>
      <c r="C6" s="3">
        <f>L5</f>
        <v/>
      </c>
      <c r="D6" s="3" t="n">
        <v>0</v>
      </c>
      <c r="E6" s="3" t="n">
        <v>0</v>
      </c>
      <c r="F6" s="3" t="n">
        <v>0</v>
      </c>
      <c r="G6" s="3" t="n">
        <v>0</v>
      </c>
      <c r="H6" s="3">
        <f>F6+G6</f>
        <v/>
      </c>
      <c r="I6" s="3" t="n">
        <v>676</v>
      </c>
      <c r="J6" s="3" t="n">
        <v>310</v>
      </c>
      <c r="K6" s="3">
        <f>B6+D6+F6-I6</f>
        <v/>
      </c>
      <c r="L6" s="3">
        <f>C6+E6+G6-J6</f>
        <v/>
      </c>
      <c r="M6" s="3" t="inlineStr">
        <is>
          <t>4月</t>
        </is>
      </c>
      <c r="N6" s="3" t="inlineStr">
        <is>
          <t>5月</t>
        </is>
      </c>
    </row>
    <row r="7">
      <c r="A7" s="3" t="inlineStr">
        <is>
          <t>7月</t>
        </is>
      </c>
      <c r="B7" s="3">
        <f>K6</f>
        <v/>
      </c>
      <c r="C7" s="3">
        <f>L6</f>
        <v/>
      </c>
      <c r="D7" s="3" t="n">
        <v>0</v>
      </c>
      <c r="E7" s="3" t="n">
        <v>0</v>
      </c>
      <c r="F7" s="3" t="n">
        <v>93</v>
      </c>
      <c r="G7" s="3" t="n">
        <v>40</v>
      </c>
      <c r="H7" s="3">
        <f>F7+G7</f>
        <v/>
      </c>
      <c r="I7" s="3" t="n">
        <v>1113</v>
      </c>
      <c r="J7" s="3" t="n">
        <v>477</v>
      </c>
      <c r="K7" s="3">
        <f>B7+D7+F7-I7</f>
        <v/>
      </c>
      <c r="L7" s="3">
        <f>C7+E7+G7-J7</f>
        <v/>
      </c>
      <c r="M7" s="3" t="inlineStr">
        <is>
          <t>5月</t>
        </is>
      </c>
      <c r="N7" s="3" t="inlineStr">
        <is>
          <t>6月</t>
        </is>
      </c>
    </row>
    <row r="8">
      <c r="A8" s="6" t="inlineStr">
        <is>
          <t>8月</t>
        </is>
      </c>
      <c r="B8" s="6">
        <f>K7</f>
        <v/>
      </c>
      <c r="C8" s="6">
        <f>L7</f>
        <v/>
      </c>
      <c r="D8" s="6" t="n">
        <v>0</v>
      </c>
      <c r="E8" s="6" t="n">
        <v>0</v>
      </c>
      <c r="F8" s="6" t="n">
        <v>2842</v>
      </c>
      <c r="G8" s="6" t="n">
        <v>658</v>
      </c>
      <c r="H8" s="6">
        <f>F8+G8</f>
        <v/>
      </c>
      <c r="I8" s="6" t="n">
        <v>1638</v>
      </c>
      <c r="J8" s="6" t="n">
        <v>702</v>
      </c>
      <c r="K8" s="6">
        <f>B8+D8+F8-I8</f>
        <v/>
      </c>
      <c r="L8" s="6">
        <f>C8+E8+G8-J8</f>
        <v/>
      </c>
      <c r="M8" s="6" t="inlineStr">
        <is>
          <t>6月</t>
        </is>
      </c>
      <c r="N8" s="6" t="inlineStr">
        <is>
          <t>7月</t>
        </is>
      </c>
    </row>
    <row r="9">
      <c r="A9" s="6" t="inlineStr">
        <is>
          <t>9月</t>
        </is>
      </c>
      <c r="B9" s="6">
        <f>K8</f>
        <v/>
      </c>
      <c r="C9" s="6">
        <f>L8</f>
        <v/>
      </c>
      <c r="D9" s="6" t="n">
        <v>0</v>
      </c>
      <c r="E9" s="6" t="n">
        <v>0</v>
      </c>
      <c r="F9" s="6" t="n">
        <v>2450</v>
      </c>
      <c r="G9" s="6" t="n">
        <v>1050</v>
      </c>
      <c r="H9" s="6">
        <f>F9+G9</f>
        <v/>
      </c>
      <c r="I9" s="6" t="n">
        <v>1918</v>
      </c>
      <c r="J9" s="6" t="n">
        <v>822</v>
      </c>
      <c r="K9" s="6">
        <f>B9+D9+F9-I9</f>
        <v/>
      </c>
      <c r="L9" s="6">
        <f>C9+E9+G9-J9</f>
        <v/>
      </c>
      <c r="M9" s="6" t="inlineStr">
        <is>
          <t>7月</t>
        </is>
      </c>
      <c r="N9" s="6" t="inlineStr">
        <is>
          <t>8月</t>
        </is>
      </c>
    </row>
    <row r="10">
      <c r="A10" s="7" t="inlineStr">
        <is>
          <t>10月</t>
        </is>
      </c>
      <c r="B10" s="7">
        <f>K9</f>
        <v/>
      </c>
      <c r="C10" s="7">
        <f>L9</f>
        <v/>
      </c>
      <c r="D10" s="7" t="n">
        <v>0</v>
      </c>
      <c r="E10" s="7" t="n">
        <v>0</v>
      </c>
      <c r="F10" s="7" t="n">
        <v>2450</v>
      </c>
      <c r="G10" s="7" t="n">
        <v>1050</v>
      </c>
      <c r="H10" s="7">
        <f>F10+G10</f>
        <v/>
      </c>
      <c r="I10" s="7" t="n">
        <v>2996</v>
      </c>
      <c r="J10" s="7" t="n">
        <v>1284</v>
      </c>
      <c r="K10" s="7">
        <f>B10+D10+F10-I10</f>
        <v/>
      </c>
      <c r="L10" s="7">
        <f>C10+E10+G10-J10</f>
        <v/>
      </c>
      <c r="M10" s="7" t="inlineStr">
        <is>
          <t>8月</t>
        </is>
      </c>
      <c r="N10" s="7" t="inlineStr">
        <is>
          <t>9月</t>
        </is>
      </c>
    </row>
    <row r="11">
      <c r="A11" s="7" t="inlineStr">
        <is>
          <t>11月</t>
        </is>
      </c>
      <c r="B11" s="7">
        <f>K10</f>
        <v/>
      </c>
      <c r="C11" s="7">
        <f>L10</f>
        <v/>
      </c>
      <c r="D11" s="7" t="n">
        <v>0</v>
      </c>
      <c r="E11" s="7" t="n">
        <v>0</v>
      </c>
      <c r="F11" s="7" t="n">
        <v>2450</v>
      </c>
      <c r="G11" s="7" t="n">
        <v>1050</v>
      </c>
      <c r="H11" s="7">
        <f>F11+G11</f>
        <v/>
      </c>
      <c r="I11" s="7" t="n">
        <v>3829</v>
      </c>
      <c r="J11" s="7" t="n">
        <v>1641</v>
      </c>
      <c r="K11" s="7">
        <f>B11+D11+F11-I11</f>
        <v/>
      </c>
      <c r="L11" s="7">
        <f>C11+E11+G11-J11</f>
        <v/>
      </c>
      <c r="M11" s="7" t="inlineStr">
        <is>
          <t>9月</t>
        </is>
      </c>
      <c r="N11" s="7" t="inlineStr">
        <is>
          <t>10月</t>
        </is>
      </c>
    </row>
    <row r="12">
      <c r="A12" s="7" t="inlineStr">
        <is>
          <t>12月</t>
        </is>
      </c>
      <c r="B12" s="7">
        <f>K11</f>
        <v/>
      </c>
      <c r="C12" s="7">
        <f>L11</f>
        <v/>
      </c>
      <c r="D12" s="7" t="n">
        <v>0</v>
      </c>
      <c r="E12" s="7" t="n">
        <v>0</v>
      </c>
      <c r="F12" s="7" t="n">
        <v>2450</v>
      </c>
      <c r="G12" s="7" t="n">
        <v>1050</v>
      </c>
      <c r="H12" s="7">
        <f>F12+G12</f>
        <v/>
      </c>
      <c r="I12" s="7" t="n">
        <v>2632</v>
      </c>
      <c r="J12" s="7" t="n">
        <v>1128</v>
      </c>
      <c r="K12" s="7">
        <f>B12+D12+F12-I12</f>
        <v/>
      </c>
      <c r="L12" s="7">
        <f>C12+E12+G12-J12</f>
        <v/>
      </c>
      <c r="M12" s="7" t="inlineStr">
        <is>
          <t>10月</t>
        </is>
      </c>
      <c r="N12" s="7" t="inlineStr">
        <is>
          <t>11月</t>
        </is>
      </c>
    </row>
    <row r="13">
      <c r="A13" s="8" t="inlineStr">
        <is>
          <t>合计</t>
        </is>
      </c>
      <c r="F13" s="8">
        <f>SUM(F3:F12)</f>
        <v/>
      </c>
      <c r="G13" s="8">
        <f>SUM(G3:G12)</f>
        <v/>
      </c>
      <c r="H13" s="8">
        <f>SUM(H3:H12)</f>
        <v/>
      </c>
      <c r="I13" s="8">
        <f>SUM(I3:I12)</f>
        <v/>
      </c>
      <c r="J13" s="8">
        <f>SUM(J3:J12)</f>
        <v/>
      </c>
    </row>
    <row r="15">
      <c r="A15" s="9" t="inlineStr">
        <is>
          <t>【颜色说明】橙色=满产月（黑+银=3500）；黄色=超产能月（需求&gt;3500，不足部分由期初库存补足）；本月投产=上月投入生产本月到库，备料月=投产月提前1个月</t>
        </is>
      </c>
    </row>
  </sheetData>
  <mergeCells count="2">
    <mergeCell ref="A15:N1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</cols>
  <sheetData>
    <row r="1">
      <c r="A1" s="4" t="inlineStr">
        <is>
          <t>备料 &amp; 投产时间节点汇总表</t>
        </is>
      </c>
    </row>
    <row r="2">
      <c r="A2" s="5" t="inlineStr">
        <is>
          <t>目标月份</t>
        </is>
      </c>
      <c r="B2" s="5" t="inlineStr">
        <is>
          <t>备料月份</t>
        </is>
      </c>
      <c r="C2" s="5" t="inlineStr">
        <is>
          <t>投产月份</t>
        </is>
      </c>
      <c r="D2" s="5" t="inlineStr">
        <is>
          <t>投产总量</t>
        </is>
      </c>
      <c r="E2" s="5" t="inlineStr">
        <is>
          <t>黑色投产</t>
        </is>
      </c>
      <c r="F2" s="5" t="inlineStr">
        <is>
          <t>银色投产</t>
        </is>
      </c>
      <c r="G2" s="5" t="inlineStr">
        <is>
          <t>备注</t>
        </is>
      </c>
    </row>
    <row r="3">
      <c r="A3" s="3" t="inlineStr">
        <is>
          <t>3月</t>
        </is>
      </c>
      <c r="B3" s="3" t="inlineStr">
        <is>
          <t>1月</t>
        </is>
      </c>
      <c r="C3" s="3" t="inlineStr">
        <is>
          <t>2月</t>
        </is>
      </c>
      <c r="D3" s="3" t="n">
        <v>2000</v>
      </c>
      <c r="E3" s="3" t="n">
        <v>1400</v>
      </c>
      <c r="F3" s="3" t="n">
        <v>600</v>
      </c>
      <c r="G3" s="10" t="inlineStr">
        <is>
          <t>在产入库（已在产2月，3月到库）</t>
        </is>
      </c>
    </row>
    <row r="4">
      <c r="A4" s="3" t="inlineStr">
        <is>
          <t>4月</t>
        </is>
      </c>
      <c r="B4" s="3" t="inlineStr">
        <is>
          <t>2月</t>
        </is>
      </c>
      <c r="C4" s="3" t="inlineStr">
        <is>
          <t>3月</t>
        </is>
      </c>
      <c r="D4" s="3" t="n">
        <v>0</v>
      </c>
      <c r="E4" s="3" t="n">
        <v>0</v>
      </c>
      <c r="F4" s="3" t="n">
        <v>0</v>
      </c>
      <c r="G4" s="10" t="inlineStr">
        <is>
          <t>期初库存充足（黑2389/银1604），无需安排新投产</t>
        </is>
      </c>
    </row>
    <row r="5">
      <c r="A5" s="3" t="inlineStr">
        <is>
          <t>5月</t>
        </is>
      </c>
      <c r="B5" s="3" t="inlineStr">
        <is>
          <t>3月</t>
        </is>
      </c>
      <c r="C5" s="3" t="inlineStr">
        <is>
          <t>4月</t>
        </is>
      </c>
      <c r="D5" s="3" t="n">
        <v>0</v>
      </c>
      <c r="E5" s="3" t="n">
        <v>0</v>
      </c>
      <c r="F5" s="3" t="n">
        <v>0</v>
      </c>
      <c r="G5" s="10" t="inlineStr">
        <is>
          <t>期初库存充足，无需安排新投产</t>
        </is>
      </c>
    </row>
    <row r="6">
      <c r="A6" s="3" t="inlineStr">
        <is>
          <t>6月</t>
        </is>
      </c>
      <c r="B6" s="3" t="inlineStr">
        <is>
          <t>4月</t>
        </is>
      </c>
      <c r="C6" s="3" t="inlineStr">
        <is>
          <t>5月</t>
        </is>
      </c>
      <c r="D6" s="3" t="n">
        <v>0</v>
      </c>
      <c r="E6" s="3" t="n">
        <v>0</v>
      </c>
      <c r="F6" s="3" t="n">
        <v>0</v>
      </c>
      <c r="G6" s="10" t="inlineStr">
        <is>
          <t>期初库存充足，无需安排新投产</t>
        </is>
      </c>
    </row>
    <row r="7">
      <c r="A7" s="3" t="inlineStr">
        <is>
          <t>7月</t>
        </is>
      </c>
      <c r="B7" s="3" t="inlineStr">
        <is>
          <t>5月</t>
        </is>
      </c>
      <c r="C7" s="3" t="inlineStr">
        <is>
          <t>6月</t>
        </is>
      </c>
      <c r="D7" s="3" t="n">
        <v>133</v>
      </c>
      <c r="E7" s="3" t="n">
        <v>93</v>
      </c>
      <c r="F7" s="3" t="n">
        <v>40</v>
      </c>
      <c r="G7" s="10" t="inlineStr">
        <is>
          <t>6月投产133件（黑93/银40），补充后续库存</t>
        </is>
      </c>
    </row>
    <row r="8">
      <c r="A8" s="6" t="inlineStr">
        <is>
          <t>8月</t>
        </is>
      </c>
      <c r="B8" s="6" t="inlineStr">
        <is>
          <t>6月</t>
        </is>
      </c>
      <c r="C8" s="6" t="inlineStr">
        <is>
          <t>7月</t>
        </is>
      </c>
      <c r="D8" s="6" t="n">
        <v>3500</v>
      </c>
      <c r="E8" s="6" t="n">
        <v>2842</v>
      </c>
      <c r="F8" s="6" t="n">
        <v>658</v>
      </c>
      <c r="G8" s="11" t="inlineStr">
        <is>
          <t>7月满产3500件（黑2842/银658）</t>
        </is>
      </c>
    </row>
    <row r="9">
      <c r="A9" s="6" t="inlineStr">
        <is>
          <t>9月</t>
        </is>
      </c>
      <c r="B9" s="6" t="inlineStr">
        <is>
          <t>7月</t>
        </is>
      </c>
      <c r="C9" s="6" t="inlineStr">
        <is>
          <t>8月</t>
        </is>
      </c>
      <c r="D9" s="6" t="n">
        <v>3500</v>
      </c>
      <c r="E9" s="6" t="n">
        <v>2450</v>
      </c>
      <c r="F9" s="6" t="n">
        <v>1050</v>
      </c>
      <c r="G9" s="11" t="inlineStr">
        <is>
          <t>8月满产3500件（黑2450/银1050）</t>
        </is>
      </c>
    </row>
    <row r="10">
      <c r="A10" s="7" t="inlineStr">
        <is>
          <t>10月</t>
        </is>
      </c>
      <c r="B10" s="7" t="inlineStr">
        <is>
          <t>8月</t>
        </is>
      </c>
      <c r="C10" s="7" t="inlineStr">
        <is>
          <t>9月</t>
        </is>
      </c>
      <c r="D10" s="7" t="n">
        <v>3500</v>
      </c>
      <c r="E10" s="7" t="n">
        <v>2450</v>
      </c>
      <c r="F10" s="7" t="n">
        <v>1050</v>
      </c>
      <c r="G10" s="12" t="inlineStr">
        <is>
          <t>9月满产3500件；需求4280超产能780件，由期初库存补足（黑546+银234）★</t>
        </is>
      </c>
    </row>
    <row r="11">
      <c r="A11" s="7" t="inlineStr">
        <is>
          <t>11月</t>
        </is>
      </c>
      <c r="B11" s="7" t="inlineStr">
        <is>
          <t>9月</t>
        </is>
      </c>
      <c r="C11" s="7" t="inlineStr">
        <is>
          <t>10月</t>
        </is>
      </c>
      <c r="D11" s="7" t="n">
        <v>3500</v>
      </c>
      <c r="E11" s="7" t="n">
        <v>2450</v>
      </c>
      <c r="F11" s="7" t="n">
        <v>1050</v>
      </c>
      <c r="G11" s="12" t="inlineStr">
        <is>
          <t>10月满产3500件；需求5470超产能1970件，由期初库存补足（黑1379+银591）★</t>
        </is>
      </c>
    </row>
    <row r="12">
      <c r="A12" s="7" t="inlineStr">
        <is>
          <t>12月</t>
        </is>
      </c>
      <c r="B12" s="7" t="inlineStr">
        <is>
          <t>10月</t>
        </is>
      </c>
      <c r="C12" s="7" t="inlineStr">
        <is>
          <t>11月</t>
        </is>
      </c>
      <c r="D12" s="7" t="n">
        <v>3500</v>
      </c>
      <c r="E12" s="7" t="n">
        <v>2450</v>
      </c>
      <c r="F12" s="7" t="n">
        <v>1050</v>
      </c>
      <c r="G12" s="12" t="inlineStr">
        <is>
          <t>11月满产3500件；需求3760超产能260件，由期初库存补足（黑182+银78）★</t>
        </is>
      </c>
    </row>
    <row r="14">
      <c r="A14" s="13" t="inlineStr">
        <is>
          <t>★ 超产能月份：投产月按满产3500件安排，缺口由此前滚动累计的库存盈余补足。库存盈余来源于前期需求低于产能时预先建立的安全库存。</t>
        </is>
      </c>
    </row>
  </sheetData>
  <mergeCells count="2">
    <mergeCell ref="A14:G1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2026-03-20T06:15:52Z</dcterms:created>
  <dcterms:modified xmlns:dcterms="http://purl.org/dc/terms/" xmlns:xsi="http://www.w3.org/2001/XMLSchema-instance" xsi:type="dcterms:W3CDTF">2026-03-20T06:15:52Z</dcterms:modified>
</cp:coreProperties>
</file>